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io\Dropbox\#Maletin14\MAHJONG\"/>
    </mc:Choice>
  </mc:AlternateContent>
  <xr:revisionPtr revIDLastSave="0" documentId="13_ncr:1_{9B7728EB-ED02-437B-8C11-EDADA5060C5A}" xr6:coauthVersionLast="47" xr6:coauthVersionMax="47" xr10:uidLastSave="{00000000-0000-0000-0000-000000000000}"/>
  <bookViews>
    <workbookView xWindow="-120" yWindow="-120" windowWidth="29040" windowHeight="15840" activeTab="1" xr2:uid="{226A3DA1-829A-45EF-B6E6-20015395D27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2" l="1"/>
  <c r="C23" i="2"/>
  <c r="C24" i="2"/>
  <c r="C25" i="2"/>
  <c r="C21" i="2"/>
  <c r="O20" i="2"/>
  <c r="O18" i="2"/>
  <c r="P18" i="2"/>
  <c r="Q18" i="2"/>
  <c r="R18" i="2"/>
  <c r="S18" i="2"/>
  <c r="T18" i="2"/>
  <c r="U18" i="2"/>
  <c r="V18" i="2"/>
  <c r="W18" i="2"/>
  <c r="X18" i="2"/>
  <c r="O19" i="2"/>
  <c r="P19" i="2"/>
  <c r="Q19" i="2"/>
  <c r="R19" i="2"/>
  <c r="S19" i="2"/>
  <c r="T19" i="2"/>
  <c r="U19" i="2"/>
  <c r="V19" i="2"/>
  <c r="W19" i="2"/>
  <c r="X19" i="2"/>
  <c r="P20" i="2"/>
  <c r="Q20" i="2"/>
  <c r="R20" i="2"/>
  <c r="S20" i="2"/>
  <c r="T20" i="2"/>
  <c r="U20" i="2"/>
  <c r="V20" i="2"/>
  <c r="W20" i="2"/>
  <c r="X20" i="2"/>
  <c r="P17" i="2"/>
  <c r="Q17" i="2"/>
  <c r="R17" i="2"/>
  <c r="S17" i="2"/>
  <c r="T17" i="2"/>
  <c r="U17" i="2"/>
  <c r="V17" i="2"/>
  <c r="W17" i="2"/>
  <c r="X17" i="2"/>
  <c r="O17" i="2"/>
  <c r="C44" i="1"/>
  <c r="O10" i="2"/>
  <c r="O22" i="2" s="1"/>
  <c r="O11" i="2"/>
  <c r="O23" i="2" s="1"/>
  <c r="O12" i="2"/>
  <c r="O24" i="2" s="1"/>
  <c r="O13" i="2"/>
  <c r="O25" i="2" s="1"/>
  <c r="O9" i="2"/>
  <c r="O21" i="2" s="1"/>
  <c r="C18" i="2"/>
  <c r="E18" i="2"/>
  <c r="F18" i="2"/>
  <c r="G18" i="2"/>
  <c r="H18" i="2"/>
  <c r="I18" i="2"/>
  <c r="J18" i="2"/>
  <c r="K18" i="2"/>
  <c r="L18" i="2"/>
  <c r="C19" i="2"/>
  <c r="D19" i="2"/>
  <c r="E19" i="2"/>
  <c r="F19" i="2"/>
  <c r="G19" i="2"/>
  <c r="H19" i="2"/>
  <c r="I19" i="2"/>
  <c r="J19" i="2"/>
  <c r="K19" i="2"/>
  <c r="L19" i="2"/>
  <c r="C20" i="2"/>
  <c r="D20" i="2"/>
  <c r="E20" i="2"/>
  <c r="F20" i="2"/>
  <c r="G20" i="2"/>
  <c r="H20" i="2"/>
  <c r="I20" i="2"/>
  <c r="J20" i="2"/>
  <c r="K20" i="2"/>
  <c r="L20" i="2"/>
  <c r="E17" i="2"/>
  <c r="F17" i="2"/>
  <c r="G17" i="2"/>
  <c r="H17" i="2"/>
  <c r="I17" i="2"/>
  <c r="J17" i="2"/>
  <c r="K17" i="2"/>
  <c r="L17" i="2"/>
  <c r="E43" i="1"/>
  <c r="F43" i="1"/>
  <c r="D43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F45" i="1"/>
  <c r="F46" i="1"/>
  <c r="F47" i="1"/>
  <c r="F48" i="1"/>
  <c r="F49" i="1"/>
  <c r="F50" i="1"/>
  <c r="F51" i="1"/>
  <c r="F44" i="1"/>
  <c r="F16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E16" i="1"/>
  <c r="D16" i="1"/>
</calcChain>
</file>

<file path=xl/sharedStrings.xml><?xml version="1.0" encoding="utf-8"?>
<sst xmlns="http://schemas.openxmlformats.org/spreadsheetml/2006/main" count="70" uniqueCount="18">
  <si>
    <t>Yapas</t>
  </si>
  <si>
    <t>1 tanto</t>
  </si>
  <si>
    <t>2 tantos</t>
  </si>
  <si>
    <t>3 tantos</t>
  </si>
  <si>
    <t>4 tantos</t>
  </si>
  <si>
    <t>5 tantos</t>
  </si>
  <si>
    <t>6-7 tantos</t>
  </si>
  <si>
    <t>8-10 tantos</t>
  </si>
  <si>
    <t>11-12 tantos</t>
  </si>
  <si>
    <r>
      <rPr>
        <b/>
        <sz val="11"/>
        <color theme="1"/>
        <rFont val="Calibri"/>
        <family val="2"/>
        <scheme val="minor"/>
      </rPr>
      <t>Repartidor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si ganó robando del muro</t>
    </r>
    <r>
      <rPr>
        <sz val="11"/>
        <color theme="1"/>
        <rFont val="Calibri"/>
        <family val="2"/>
        <scheme val="minor"/>
      </rPr>
      <t xml:space="preserve">
El número es la cantidad que paga cada jugador.</t>
    </r>
  </si>
  <si>
    <r>
      <t xml:space="preserve">Cualquier otro jugador, si gano robando de un descarte
</t>
    </r>
    <r>
      <rPr>
        <sz val="11"/>
        <color theme="1"/>
        <rFont val="Calibri"/>
        <family val="2"/>
        <scheme val="minor"/>
      </rPr>
      <t>El número es la cantidad que le paga el perdedor al ganador.</t>
    </r>
  </si>
  <si>
    <r>
      <rPr>
        <b/>
        <sz val="11"/>
        <color theme="1"/>
        <rFont val="Calibri"/>
        <family val="2"/>
        <scheme val="minor"/>
      </rPr>
      <t>Repartidor, si gano robando de un descarte</t>
    </r>
    <r>
      <rPr>
        <sz val="11"/>
        <color theme="1"/>
        <rFont val="Calibri"/>
        <family val="2"/>
        <scheme val="minor"/>
      </rPr>
      <t xml:space="preserve">
El número es la cantidad que le B56paga el perdedor al ganador</t>
    </r>
  </si>
  <si>
    <r>
      <rPr>
        <b/>
        <sz val="11"/>
        <color theme="1"/>
        <rFont val="Calibri"/>
        <family val="2"/>
        <scheme val="minor"/>
      </rPr>
      <t>Cualquier otro jugador, si ganó robando del muro</t>
    </r>
    <r>
      <rPr>
        <sz val="11"/>
        <color theme="1"/>
        <rFont val="Calibri"/>
        <family val="2"/>
        <scheme val="minor"/>
      </rPr>
      <t xml:space="preserve">
El número de abajo es lo que paga el repartidor,
y el de arriba es lo que pagan los otros dos jugadores.</t>
    </r>
  </si>
  <si>
    <r>
      <rPr>
        <b/>
        <sz val="11"/>
        <color theme="1"/>
        <rFont val="Calibri"/>
        <family val="2"/>
        <scheme val="minor"/>
      </rPr>
      <t>Repartidor, si gano robando de un descarte</t>
    </r>
    <r>
      <rPr>
        <sz val="11"/>
        <color theme="1"/>
        <rFont val="Calibri"/>
        <family val="2"/>
        <scheme val="minor"/>
      </rPr>
      <t xml:space="preserve">
El número es la cantidad que le paga el perdedor al ganador</t>
    </r>
  </si>
  <si>
    <t>PUNTOS POR GANAR ROBANDO DEL POZO</t>
  </si>
  <si>
    <t>PUNTOS POR GANAR ROBANDO DE UN DESCARTE</t>
  </si>
  <si>
    <r>
      <rPr>
        <b/>
        <sz val="11"/>
        <color theme="1"/>
        <rFont val="Calibri"/>
        <family val="2"/>
        <scheme val="minor"/>
      </rPr>
      <t>Cualquier otro jugador, si ganó robando del muro</t>
    </r>
    <r>
      <rPr>
        <sz val="11"/>
        <color theme="1"/>
        <rFont val="Calibri"/>
        <family val="2"/>
        <scheme val="minor"/>
      </rPr>
      <t xml:space="preserve">
El segundo número es lo que paga el </t>
    </r>
    <r>
      <rPr>
        <b/>
        <u/>
        <sz val="11"/>
        <color theme="1"/>
        <rFont val="Calibri"/>
        <family val="2"/>
        <scheme val="minor"/>
      </rPr>
      <t>repartidor</t>
    </r>
    <r>
      <rPr>
        <sz val="11"/>
        <color theme="1"/>
        <rFont val="Calibri"/>
        <family val="2"/>
        <scheme val="minor"/>
      </rPr>
      <t xml:space="preserve">,
y el primero es lo que pagan </t>
    </r>
    <r>
      <rPr>
        <b/>
        <u/>
        <sz val="11"/>
        <color theme="1"/>
        <rFont val="Calibri"/>
        <family val="2"/>
        <scheme val="minor"/>
      </rPr>
      <t>los otros dos jugadores</t>
    </r>
    <r>
      <rPr>
        <sz val="11"/>
        <color theme="1"/>
        <rFont val="Calibri"/>
        <family val="2"/>
        <scheme val="minor"/>
      </rPr>
      <t>.</t>
    </r>
  </si>
  <si>
    <t>13 tantos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</si>
</sst>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B618-AEC4-4032-9D0A-CC9911306123}">
  <dimension ref="B1:K58"/>
  <sheetViews>
    <sheetView topLeftCell="A25" workbookViewId="0">
      <selection activeCell="C45" sqref="C45"/>
    </sheetView>
  </sheetViews>
  <sheetFormatPr baseColWidth="10" defaultRowHeight="15" x14ac:dyDescent="0.25"/>
  <cols>
    <col min="2" max="6" width="11.42578125" style="1"/>
    <col min="10" max="10" width="13" customWidth="1"/>
    <col min="11" max="11" width="21.140625" customWidth="1"/>
  </cols>
  <sheetData>
    <row r="1" spans="2:11" ht="40.5" customHeight="1" x14ac:dyDescent="0.25">
      <c r="B1" s="15" t="s">
        <v>9</v>
      </c>
      <c r="C1" s="14"/>
      <c r="D1" s="14"/>
      <c r="E1" s="14"/>
      <c r="F1" s="14"/>
    </row>
    <row r="2" spans="2:11" x14ac:dyDescent="0.25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2"/>
      <c r="H2" s="2"/>
      <c r="I2" s="2"/>
      <c r="J2" s="2"/>
      <c r="K2" s="2"/>
    </row>
    <row r="3" spans="2:11" x14ac:dyDescent="0.25">
      <c r="B3" s="9">
        <v>0</v>
      </c>
      <c r="C3" s="4"/>
      <c r="D3" s="4">
        <v>700</v>
      </c>
      <c r="E3" s="4">
        <v>1300</v>
      </c>
      <c r="F3" s="4">
        <v>2600</v>
      </c>
    </row>
    <row r="4" spans="2:11" x14ac:dyDescent="0.25">
      <c r="B4" s="9">
        <v>5</v>
      </c>
      <c r="C4" s="4"/>
      <c r="D4" s="4"/>
      <c r="E4" s="4">
        <v>1600</v>
      </c>
      <c r="F4" s="4">
        <v>3200</v>
      </c>
    </row>
    <row r="5" spans="2:11" x14ac:dyDescent="0.25">
      <c r="B5" s="9">
        <v>10</v>
      </c>
      <c r="C5" s="4">
        <v>500</v>
      </c>
      <c r="D5" s="4">
        <v>1000</v>
      </c>
      <c r="E5" s="4">
        <v>2000</v>
      </c>
      <c r="F5" s="4">
        <v>3900</v>
      </c>
    </row>
    <row r="6" spans="2:11" x14ac:dyDescent="0.25">
      <c r="B6" s="9">
        <v>20</v>
      </c>
      <c r="C6" s="4">
        <v>700</v>
      </c>
      <c r="D6" s="4">
        <v>1300</v>
      </c>
      <c r="E6" s="4">
        <v>2600</v>
      </c>
      <c r="F6" s="7">
        <v>4000</v>
      </c>
    </row>
    <row r="7" spans="2:11" x14ac:dyDescent="0.25">
      <c r="B7" s="9">
        <v>30</v>
      </c>
      <c r="C7" s="4">
        <v>800</v>
      </c>
      <c r="D7" s="4">
        <v>1600</v>
      </c>
      <c r="E7" s="4">
        <v>3200</v>
      </c>
      <c r="F7" s="7">
        <v>4000</v>
      </c>
    </row>
    <row r="8" spans="2:11" x14ac:dyDescent="0.25">
      <c r="B8" s="9">
        <v>40</v>
      </c>
      <c r="C8" s="4">
        <v>1000</v>
      </c>
      <c r="D8" s="4">
        <v>2000</v>
      </c>
      <c r="E8" s="4">
        <v>3900</v>
      </c>
      <c r="F8" s="7">
        <v>4000</v>
      </c>
    </row>
    <row r="9" spans="2:11" x14ac:dyDescent="0.25">
      <c r="B9" s="9">
        <v>50</v>
      </c>
      <c r="C9" s="4">
        <v>1200</v>
      </c>
      <c r="D9" s="4">
        <v>2300</v>
      </c>
      <c r="E9" s="7">
        <v>4000</v>
      </c>
      <c r="F9" s="7">
        <v>4000</v>
      </c>
    </row>
    <row r="10" spans="2:11" x14ac:dyDescent="0.25">
      <c r="B10" s="9">
        <v>60</v>
      </c>
      <c r="C10" s="4">
        <v>1300</v>
      </c>
      <c r="D10" s="4">
        <v>2600</v>
      </c>
      <c r="E10" s="7">
        <v>4000</v>
      </c>
      <c r="F10" s="7">
        <v>4000</v>
      </c>
      <c r="H10" s="3"/>
    </row>
    <row r="11" spans="2:11" x14ac:dyDescent="0.25">
      <c r="B11" s="9">
        <v>70</v>
      </c>
      <c r="C11" s="4">
        <v>1500</v>
      </c>
      <c r="D11" s="4">
        <v>2900</v>
      </c>
      <c r="E11" s="7">
        <v>4000</v>
      </c>
      <c r="F11" s="7">
        <v>4000</v>
      </c>
    </row>
    <row r="12" spans="2:11" x14ac:dyDescent="0.25">
      <c r="B12" s="9">
        <v>80</v>
      </c>
      <c r="C12" s="4">
        <v>1600</v>
      </c>
      <c r="D12" s="4">
        <v>3200</v>
      </c>
      <c r="E12" s="7">
        <v>4000</v>
      </c>
      <c r="F12" s="7">
        <v>4000</v>
      </c>
      <c r="H12" s="3"/>
    </row>
    <row r="14" spans="2:11" ht="51.75" customHeight="1" x14ac:dyDescent="0.25">
      <c r="B14" s="15" t="s">
        <v>12</v>
      </c>
      <c r="C14" s="15"/>
      <c r="D14" s="15"/>
      <c r="E14" s="15"/>
      <c r="F14" s="15"/>
    </row>
    <row r="15" spans="2:11" x14ac:dyDescent="0.25">
      <c r="B15" s="8" t="s">
        <v>0</v>
      </c>
      <c r="C15" s="8" t="s">
        <v>1</v>
      </c>
      <c r="D15" s="8" t="s">
        <v>2</v>
      </c>
      <c r="E15" s="8" t="s">
        <v>3</v>
      </c>
      <c r="F15" s="8" t="s">
        <v>4</v>
      </c>
      <c r="G15" s="2"/>
      <c r="H15" s="2"/>
      <c r="I15" s="2"/>
      <c r="J15" s="2"/>
      <c r="K15" s="2"/>
    </row>
    <row r="16" spans="2:11" ht="30" customHeight="1" x14ac:dyDescent="0.25">
      <c r="B16" s="8">
        <v>0</v>
      </c>
      <c r="C16" s="5"/>
      <c r="D16" s="5" t="str">
        <f>_xlfn.CONCAT(ROUNDUP(D3/2,-2),CHAR(10),D3)</f>
        <v>400
700</v>
      </c>
      <c r="E16" s="5" t="str">
        <f t="shared" ref="E16" si="0">_xlfn.CONCAT(ROUNDUP(E3/2,-2),CHAR(10),E3)</f>
        <v>700
1300</v>
      </c>
      <c r="F16" s="5" t="str">
        <f>_xlfn.CONCAT(ROUNDUP(F3/2,-2),CHAR(10),F3)</f>
        <v>1300
2600</v>
      </c>
    </row>
    <row r="17" spans="2:11" ht="30" customHeight="1" x14ac:dyDescent="0.25">
      <c r="B17" s="8">
        <v>5</v>
      </c>
      <c r="C17" s="5"/>
      <c r="D17" s="5"/>
      <c r="E17" s="5" t="str">
        <f t="shared" ref="E17:F17" si="1">_xlfn.CONCAT(ROUNDUP(E4/2,-2),CHAR(10),E4)</f>
        <v>800
1600</v>
      </c>
      <c r="F17" s="5" t="str">
        <f t="shared" si="1"/>
        <v>1600
3200</v>
      </c>
    </row>
    <row r="18" spans="2:11" ht="30" customHeight="1" x14ac:dyDescent="0.25">
      <c r="B18" s="8">
        <v>10</v>
      </c>
      <c r="C18" s="5" t="str">
        <f t="shared" ref="C18:F18" si="2">_xlfn.CONCAT(ROUNDUP(C5/2,-2),CHAR(10),C5)</f>
        <v>300
500</v>
      </c>
      <c r="D18" s="5" t="str">
        <f t="shared" si="2"/>
        <v>500
1000</v>
      </c>
      <c r="E18" s="5" t="str">
        <f t="shared" si="2"/>
        <v>1000
2000</v>
      </c>
      <c r="F18" s="5" t="str">
        <f t="shared" si="2"/>
        <v>2000
3900</v>
      </c>
    </row>
    <row r="19" spans="2:11" ht="30" customHeight="1" x14ac:dyDescent="0.25">
      <c r="B19" s="8">
        <v>20</v>
      </c>
      <c r="C19" s="5" t="str">
        <f t="shared" ref="C19:F19" si="3">_xlfn.CONCAT(ROUNDUP(C6/2,-2),CHAR(10),C6)</f>
        <v>400
700</v>
      </c>
      <c r="D19" s="5" t="str">
        <f t="shared" si="3"/>
        <v>700
1300</v>
      </c>
      <c r="E19" s="5" t="str">
        <f t="shared" si="3"/>
        <v>1300
2600</v>
      </c>
      <c r="F19" s="6" t="str">
        <f t="shared" si="3"/>
        <v>2000
4000</v>
      </c>
    </row>
    <row r="20" spans="2:11" ht="30" customHeight="1" x14ac:dyDescent="0.25">
      <c r="B20" s="8">
        <v>30</v>
      </c>
      <c r="C20" s="5" t="str">
        <f t="shared" ref="C20:F20" si="4">_xlfn.CONCAT(ROUNDUP(C7/2,-2),CHAR(10),C7)</f>
        <v>400
800</v>
      </c>
      <c r="D20" s="5" t="str">
        <f t="shared" si="4"/>
        <v>800
1600</v>
      </c>
      <c r="E20" s="5" t="str">
        <f t="shared" si="4"/>
        <v>1600
3200</v>
      </c>
      <c r="F20" s="6" t="str">
        <f t="shared" si="4"/>
        <v>2000
4000</v>
      </c>
    </row>
    <row r="21" spans="2:11" ht="30" customHeight="1" x14ac:dyDescent="0.25">
      <c r="B21" s="8">
        <v>40</v>
      </c>
      <c r="C21" s="5" t="str">
        <f t="shared" ref="C21:F21" si="5">_xlfn.CONCAT(ROUNDUP(C8/2,-2),CHAR(10),C8)</f>
        <v>500
1000</v>
      </c>
      <c r="D21" s="5" t="str">
        <f t="shared" si="5"/>
        <v>1000
2000</v>
      </c>
      <c r="E21" s="5" t="str">
        <f t="shared" si="5"/>
        <v>2000
3900</v>
      </c>
      <c r="F21" s="6" t="str">
        <f t="shared" si="5"/>
        <v>2000
4000</v>
      </c>
    </row>
    <row r="22" spans="2:11" ht="30" customHeight="1" x14ac:dyDescent="0.25">
      <c r="B22" s="8">
        <v>50</v>
      </c>
      <c r="C22" s="5" t="str">
        <f t="shared" ref="C22:F22" si="6">_xlfn.CONCAT(ROUNDUP(C9/2,-2),CHAR(10),C9)</f>
        <v>600
1200</v>
      </c>
      <c r="D22" s="5" t="str">
        <f t="shared" si="6"/>
        <v>1200
2300</v>
      </c>
      <c r="E22" s="6" t="str">
        <f t="shared" si="6"/>
        <v>2000
4000</v>
      </c>
      <c r="F22" s="6" t="str">
        <f t="shared" si="6"/>
        <v>2000
4000</v>
      </c>
    </row>
    <row r="23" spans="2:11" ht="30" customHeight="1" x14ac:dyDescent="0.25">
      <c r="B23" s="8">
        <v>60</v>
      </c>
      <c r="C23" s="5" t="str">
        <f t="shared" ref="C23:F23" si="7">_xlfn.CONCAT(ROUNDUP(C10/2,-2),CHAR(10),C10)</f>
        <v>700
1300</v>
      </c>
      <c r="D23" s="5" t="str">
        <f t="shared" si="7"/>
        <v>1300
2600</v>
      </c>
      <c r="E23" s="6" t="str">
        <f t="shared" si="7"/>
        <v>2000
4000</v>
      </c>
      <c r="F23" s="6" t="str">
        <f t="shared" si="7"/>
        <v>2000
4000</v>
      </c>
    </row>
    <row r="24" spans="2:11" ht="30" customHeight="1" x14ac:dyDescent="0.25">
      <c r="B24" s="8">
        <v>70</v>
      </c>
      <c r="C24" s="5" t="str">
        <f t="shared" ref="C24:F24" si="8">_xlfn.CONCAT(ROUNDUP(C11/2,-2),CHAR(10),C11)</f>
        <v>800
1500</v>
      </c>
      <c r="D24" s="5" t="str">
        <f t="shared" si="8"/>
        <v>1500
2900</v>
      </c>
      <c r="E24" s="6" t="str">
        <f t="shared" si="8"/>
        <v>2000
4000</v>
      </c>
      <c r="F24" s="6" t="str">
        <f t="shared" si="8"/>
        <v>2000
4000</v>
      </c>
    </row>
    <row r="25" spans="2:11" ht="30" customHeight="1" x14ac:dyDescent="0.25">
      <c r="B25" s="8">
        <v>80</v>
      </c>
      <c r="C25" s="5" t="str">
        <f t="shared" ref="C25:F25" si="9">_xlfn.CONCAT(ROUNDUP(C12/2,-2),CHAR(10),C12)</f>
        <v>800
1600</v>
      </c>
      <c r="D25" s="5" t="str">
        <f t="shared" si="9"/>
        <v>1600
3200</v>
      </c>
      <c r="E25" s="6" t="str">
        <f t="shared" si="9"/>
        <v>2000
4000</v>
      </c>
      <c r="F25" s="6" t="str">
        <f t="shared" si="9"/>
        <v>2000
4000</v>
      </c>
    </row>
    <row r="26" spans="2:11" x14ac:dyDescent="0.25">
      <c r="B26" s="2"/>
      <c r="C26" s="2"/>
      <c r="D26" s="2"/>
      <c r="E26" s="2"/>
      <c r="F26" s="2"/>
    </row>
    <row r="27" spans="2:11" ht="36" customHeight="1" x14ac:dyDescent="0.25">
      <c r="B27" s="15" t="s">
        <v>11</v>
      </c>
      <c r="C27" s="14"/>
      <c r="D27" s="14"/>
      <c r="E27" s="14"/>
      <c r="F27" s="14"/>
    </row>
    <row r="28" spans="2:11" x14ac:dyDescent="0.25">
      <c r="B28" s="8" t="s">
        <v>0</v>
      </c>
      <c r="C28" s="8" t="s">
        <v>1</v>
      </c>
      <c r="D28" s="8" t="s">
        <v>2</v>
      </c>
      <c r="E28" s="8" t="s">
        <v>3</v>
      </c>
      <c r="F28" s="8" t="s">
        <v>4</v>
      </c>
      <c r="G28" s="2"/>
      <c r="H28" s="2"/>
      <c r="I28" s="2"/>
      <c r="J28" s="2"/>
      <c r="K28" s="2"/>
    </row>
    <row r="29" spans="2:11" x14ac:dyDescent="0.25">
      <c r="B29" s="8">
        <v>0</v>
      </c>
      <c r="C29" s="5"/>
      <c r="D29" s="5"/>
      <c r="E29" s="5"/>
      <c r="F29" s="5"/>
    </row>
    <row r="30" spans="2:11" x14ac:dyDescent="0.25">
      <c r="B30" s="8">
        <v>5</v>
      </c>
      <c r="C30" s="4"/>
      <c r="D30" s="5">
        <v>2400</v>
      </c>
      <c r="E30" s="5">
        <v>4800</v>
      </c>
      <c r="F30" s="5">
        <v>9600</v>
      </c>
    </row>
    <row r="31" spans="2:11" x14ac:dyDescent="0.25">
      <c r="B31" s="8">
        <v>10</v>
      </c>
      <c r="C31" s="5">
        <v>1500</v>
      </c>
      <c r="D31" s="5">
        <v>2900</v>
      </c>
      <c r="E31" s="5">
        <v>5800</v>
      </c>
      <c r="F31" s="5">
        <v>11600</v>
      </c>
    </row>
    <row r="32" spans="2:11" x14ac:dyDescent="0.25">
      <c r="B32" s="8">
        <v>20</v>
      </c>
      <c r="C32" s="5">
        <v>2000</v>
      </c>
      <c r="D32" s="5">
        <v>3900</v>
      </c>
      <c r="E32" s="5">
        <v>7700</v>
      </c>
      <c r="F32" s="6">
        <v>12000</v>
      </c>
    </row>
    <row r="33" spans="2:11" x14ac:dyDescent="0.25">
      <c r="B33" s="8">
        <v>30</v>
      </c>
      <c r="C33" s="5">
        <v>2400</v>
      </c>
      <c r="D33" s="5">
        <v>4800</v>
      </c>
      <c r="E33" s="5">
        <v>9600</v>
      </c>
      <c r="F33" s="6">
        <v>12000</v>
      </c>
    </row>
    <row r="34" spans="2:11" x14ac:dyDescent="0.25">
      <c r="B34" s="8">
        <v>40</v>
      </c>
      <c r="C34" s="5">
        <v>2900</v>
      </c>
      <c r="D34" s="5">
        <v>5800</v>
      </c>
      <c r="E34" s="5">
        <v>11600</v>
      </c>
      <c r="F34" s="6">
        <v>12000</v>
      </c>
    </row>
    <row r="35" spans="2:11" x14ac:dyDescent="0.25">
      <c r="B35" s="8">
        <v>50</v>
      </c>
      <c r="C35" s="5">
        <v>3400</v>
      </c>
      <c r="D35" s="5">
        <v>6800</v>
      </c>
      <c r="E35" s="6">
        <v>12000</v>
      </c>
      <c r="F35" s="6">
        <v>12000</v>
      </c>
    </row>
    <row r="36" spans="2:11" x14ac:dyDescent="0.25">
      <c r="B36" s="8">
        <v>60</v>
      </c>
      <c r="C36" s="5">
        <v>3900</v>
      </c>
      <c r="D36" s="5">
        <v>7700</v>
      </c>
      <c r="E36" s="6">
        <v>12000</v>
      </c>
      <c r="F36" s="6">
        <v>12000</v>
      </c>
    </row>
    <row r="37" spans="2:11" x14ac:dyDescent="0.25">
      <c r="B37" s="8">
        <v>70</v>
      </c>
      <c r="C37" s="5">
        <v>4400</v>
      </c>
      <c r="D37" s="5">
        <v>8700</v>
      </c>
      <c r="E37" s="6">
        <v>12000</v>
      </c>
      <c r="F37" s="6">
        <v>12000</v>
      </c>
    </row>
    <row r="38" spans="2:11" x14ac:dyDescent="0.25">
      <c r="B38" s="8">
        <v>80</v>
      </c>
      <c r="C38" s="5">
        <v>4800</v>
      </c>
      <c r="D38" s="5">
        <v>9600</v>
      </c>
      <c r="E38" s="6">
        <v>12000</v>
      </c>
      <c r="F38" s="6">
        <v>12000</v>
      </c>
    </row>
    <row r="40" spans="2:11" ht="34.5" customHeight="1" x14ac:dyDescent="0.25">
      <c r="B40" s="13" t="s">
        <v>10</v>
      </c>
      <c r="C40" s="14"/>
      <c r="D40" s="14"/>
      <c r="E40" s="14"/>
      <c r="F40" s="14"/>
    </row>
    <row r="41" spans="2:11" x14ac:dyDescent="0.25">
      <c r="B41" s="8" t="s">
        <v>0</v>
      </c>
      <c r="C41" s="8" t="s">
        <v>1</v>
      </c>
      <c r="D41" s="8" t="s">
        <v>2</v>
      </c>
      <c r="E41" s="8" t="s">
        <v>3</v>
      </c>
      <c r="F41" s="8" t="s">
        <v>4</v>
      </c>
      <c r="G41" s="2"/>
      <c r="H41" s="2"/>
      <c r="I41" s="2"/>
      <c r="J41" s="2"/>
      <c r="K41" s="2"/>
    </row>
    <row r="42" spans="2:11" x14ac:dyDescent="0.25">
      <c r="B42" s="8">
        <v>0</v>
      </c>
      <c r="C42" s="5"/>
      <c r="D42" s="5"/>
      <c r="E42" s="5"/>
      <c r="F42" s="5"/>
    </row>
    <row r="43" spans="2:11" x14ac:dyDescent="0.25">
      <c r="B43" s="8">
        <v>5</v>
      </c>
      <c r="C43" s="4"/>
      <c r="D43" s="5">
        <f t="shared" ref="C43:F51" si="10">ROUNDDOWN(D30/1.5,-2)</f>
        <v>1600</v>
      </c>
      <c r="E43" s="5">
        <f t="shared" si="10"/>
        <v>3200</v>
      </c>
      <c r="F43" s="5">
        <f t="shared" si="10"/>
        <v>6400</v>
      </c>
    </row>
    <row r="44" spans="2:11" x14ac:dyDescent="0.25">
      <c r="B44" s="8">
        <v>10</v>
      </c>
      <c r="C44" s="5">
        <f>ROUNDDOWN(Hoja2!O5/1.5,-2)</f>
        <v>0</v>
      </c>
      <c r="D44" s="5">
        <f t="shared" si="10"/>
        <v>1900</v>
      </c>
      <c r="E44" s="5">
        <f t="shared" si="10"/>
        <v>3800</v>
      </c>
      <c r="F44" s="5">
        <f t="shared" ref="F44" si="11">ROUNDDOWN(F31/1.5,-2)</f>
        <v>7700</v>
      </c>
    </row>
    <row r="45" spans="2:11" x14ac:dyDescent="0.25">
      <c r="B45" s="8">
        <v>20</v>
      </c>
      <c r="C45" s="5">
        <f t="shared" si="10"/>
        <v>1300</v>
      </c>
      <c r="D45" s="5">
        <f t="shared" si="10"/>
        <v>2600</v>
      </c>
      <c r="E45" s="5">
        <f t="shared" si="10"/>
        <v>5100</v>
      </c>
      <c r="F45" s="6">
        <f t="shared" ref="F45" si="12">ROUNDDOWN(F32/1.5,-2)</f>
        <v>8000</v>
      </c>
    </row>
    <row r="46" spans="2:11" x14ac:dyDescent="0.25">
      <c r="B46" s="8">
        <v>30</v>
      </c>
      <c r="C46" s="5">
        <f t="shared" si="10"/>
        <v>1600</v>
      </c>
      <c r="D46" s="5">
        <f t="shared" si="10"/>
        <v>3200</v>
      </c>
      <c r="E46" s="5">
        <f t="shared" si="10"/>
        <v>6400</v>
      </c>
      <c r="F46" s="6">
        <f t="shared" ref="F46" si="13">ROUNDDOWN(F33/1.5,-2)</f>
        <v>8000</v>
      </c>
    </row>
    <row r="47" spans="2:11" x14ac:dyDescent="0.25">
      <c r="B47" s="8">
        <v>40</v>
      </c>
      <c r="C47" s="5">
        <f t="shared" si="10"/>
        <v>1900</v>
      </c>
      <c r="D47" s="5">
        <f t="shared" si="10"/>
        <v>3800</v>
      </c>
      <c r="E47" s="5">
        <f t="shared" si="10"/>
        <v>7700</v>
      </c>
      <c r="F47" s="6">
        <f t="shared" ref="F47" si="14">ROUNDDOWN(F34/1.5,-2)</f>
        <v>8000</v>
      </c>
    </row>
    <row r="48" spans="2:11" x14ac:dyDescent="0.25">
      <c r="B48" s="8">
        <v>50</v>
      </c>
      <c r="C48" s="5">
        <f t="shared" si="10"/>
        <v>2200</v>
      </c>
      <c r="D48" s="5">
        <f t="shared" si="10"/>
        <v>4500</v>
      </c>
      <c r="E48" s="6">
        <f t="shared" si="10"/>
        <v>8000</v>
      </c>
      <c r="F48" s="6">
        <f t="shared" ref="F48" si="15">ROUNDDOWN(F35/1.5,-2)</f>
        <v>8000</v>
      </c>
    </row>
    <row r="49" spans="2:6" x14ac:dyDescent="0.25">
      <c r="B49" s="8">
        <v>60</v>
      </c>
      <c r="C49" s="5">
        <f t="shared" si="10"/>
        <v>2600</v>
      </c>
      <c r="D49" s="5">
        <f t="shared" si="10"/>
        <v>5100</v>
      </c>
      <c r="E49" s="6">
        <f t="shared" si="10"/>
        <v>8000</v>
      </c>
      <c r="F49" s="6">
        <f t="shared" ref="F49" si="16">ROUNDDOWN(F36/1.5,-2)</f>
        <v>8000</v>
      </c>
    </row>
    <row r="50" spans="2:6" x14ac:dyDescent="0.25">
      <c r="B50" s="8">
        <v>70</v>
      </c>
      <c r="C50" s="5">
        <f t="shared" si="10"/>
        <v>2900</v>
      </c>
      <c r="D50" s="5">
        <f t="shared" si="10"/>
        <v>5800</v>
      </c>
      <c r="E50" s="6">
        <f t="shared" si="10"/>
        <v>8000</v>
      </c>
      <c r="F50" s="6">
        <f t="shared" ref="F50" si="17">ROUNDDOWN(F37/1.5,-2)</f>
        <v>8000</v>
      </c>
    </row>
    <row r="51" spans="2:6" x14ac:dyDescent="0.25">
      <c r="B51" s="8">
        <v>80</v>
      </c>
      <c r="C51" s="5">
        <f t="shared" si="10"/>
        <v>3200</v>
      </c>
      <c r="D51" s="5">
        <f t="shared" si="10"/>
        <v>6400</v>
      </c>
      <c r="E51" s="6">
        <f t="shared" si="10"/>
        <v>8000</v>
      </c>
      <c r="F51" s="6">
        <f t="shared" ref="F51" si="18">ROUNDDOWN(F38/1.5,-2)</f>
        <v>8000</v>
      </c>
    </row>
    <row r="53" spans="2:6" x14ac:dyDescent="0.25">
      <c r="B53" s="11"/>
      <c r="C53" s="11"/>
      <c r="D53" s="10"/>
      <c r="E53" s="11"/>
      <c r="F53" s="11"/>
    </row>
    <row r="54" spans="2:6" ht="30" customHeight="1" x14ac:dyDescent="0.25">
      <c r="C54" s="10"/>
      <c r="E54" s="2"/>
    </row>
    <row r="55" spans="2:6" ht="30" customHeight="1" x14ac:dyDescent="0.25">
      <c r="C55" s="10"/>
      <c r="E55" s="2"/>
    </row>
    <row r="56" spans="2:6" ht="30" customHeight="1" x14ac:dyDescent="0.25">
      <c r="C56" s="10"/>
      <c r="E56" s="2"/>
    </row>
    <row r="57" spans="2:6" ht="30" customHeight="1" x14ac:dyDescent="0.25">
      <c r="C57" s="10"/>
      <c r="E57" s="2"/>
    </row>
    <row r="58" spans="2:6" ht="30" customHeight="1" x14ac:dyDescent="0.25">
      <c r="C58" s="10"/>
      <c r="E58" s="2"/>
    </row>
  </sheetData>
  <mergeCells count="4">
    <mergeCell ref="B40:F40"/>
    <mergeCell ref="B27:F27"/>
    <mergeCell ref="B14:F14"/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8F12-11E9-481A-82A3-0AA457A99B4C}">
  <dimension ref="B1:X40"/>
  <sheetViews>
    <sheetView tabSelected="1" topLeftCell="A17" workbookViewId="0">
      <selection activeCell="J27" sqref="J27"/>
    </sheetView>
  </sheetViews>
  <sheetFormatPr baseColWidth="10" defaultColWidth="7.85546875" defaultRowHeight="15" x14ac:dyDescent="0.25"/>
  <cols>
    <col min="1" max="1" width="2" style="30" customWidth="1"/>
    <col min="2" max="2" width="12.140625" style="30" customWidth="1"/>
    <col min="3" max="12" width="7.85546875" style="30"/>
    <col min="13" max="13" width="3.140625" style="30" customWidth="1"/>
    <col min="14" max="14" width="11.5703125" style="30" customWidth="1"/>
    <col min="15" max="24" width="7.85546875" style="30"/>
    <col min="25" max="25" width="1.85546875" style="30" customWidth="1"/>
    <col min="26" max="16384" width="7.85546875" style="30"/>
  </cols>
  <sheetData>
    <row r="1" spans="2:24" ht="8.25" customHeight="1" x14ac:dyDescent="0.25"/>
    <row r="2" spans="2:24" ht="26.25" x14ac:dyDescent="0.4">
      <c r="B2" s="31" t="s">
        <v>14</v>
      </c>
      <c r="C2" s="31"/>
      <c r="D2" s="31"/>
      <c r="E2" s="31"/>
      <c r="F2" s="31"/>
      <c r="G2" s="31"/>
      <c r="H2" s="31"/>
      <c r="I2" s="31"/>
      <c r="J2" s="31"/>
      <c r="K2" s="31"/>
      <c r="L2" s="31"/>
      <c r="N2" s="31" t="s">
        <v>15</v>
      </c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2:24" ht="36.75" customHeight="1" x14ac:dyDescent="0.25">
      <c r="B3" s="16" t="s">
        <v>9</v>
      </c>
      <c r="C3" s="17"/>
      <c r="D3" s="17"/>
      <c r="E3" s="17"/>
      <c r="F3" s="17"/>
      <c r="G3" s="17"/>
      <c r="H3" s="17"/>
      <c r="I3" s="17"/>
      <c r="J3" s="17"/>
      <c r="K3" s="17"/>
      <c r="L3" s="18"/>
      <c r="N3" s="16" t="s">
        <v>13</v>
      </c>
      <c r="O3" s="17"/>
      <c r="P3" s="17"/>
      <c r="Q3" s="17"/>
      <c r="R3" s="17"/>
      <c r="S3" s="17"/>
      <c r="T3" s="17"/>
      <c r="U3" s="17"/>
      <c r="V3" s="17"/>
      <c r="W3" s="17"/>
      <c r="X3" s="18"/>
    </row>
    <row r="4" spans="2:24" x14ac:dyDescent="0.25">
      <c r="B4" s="12" t="s">
        <v>0</v>
      </c>
      <c r="C4" s="8">
        <v>0</v>
      </c>
      <c r="D4" s="8">
        <v>5</v>
      </c>
      <c r="E4" s="8">
        <v>10</v>
      </c>
      <c r="F4" s="8">
        <v>20</v>
      </c>
      <c r="G4" s="8">
        <v>30</v>
      </c>
      <c r="H4" s="8">
        <v>40</v>
      </c>
      <c r="I4" s="8">
        <v>50</v>
      </c>
      <c r="J4" s="8">
        <v>60</v>
      </c>
      <c r="K4" s="8">
        <v>70</v>
      </c>
      <c r="L4" s="8">
        <v>80</v>
      </c>
      <c r="N4" s="12" t="s">
        <v>0</v>
      </c>
      <c r="O4" s="8">
        <v>0</v>
      </c>
      <c r="P4" s="8">
        <v>5</v>
      </c>
      <c r="Q4" s="8">
        <v>10</v>
      </c>
      <c r="R4" s="8">
        <v>20</v>
      </c>
      <c r="S4" s="8">
        <v>30</v>
      </c>
      <c r="T4" s="8">
        <v>40</v>
      </c>
      <c r="U4" s="8">
        <v>50</v>
      </c>
      <c r="V4" s="8">
        <v>60</v>
      </c>
      <c r="W4" s="8">
        <v>70</v>
      </c>
      <c r="X4" s="8">
        <v>80</v>
      </c>
    </row>
    <row r="5" spans="2:24" ht="31.5" customHeight="1" x14ac:dyDescent="0.25">
      <c r="B5" s="12" t="s">
        <v>1</v>
      </c>
      <c r="C5" s="5"/>
      <c r="D5" s="5"/>
      <c r="E5" s="5">
        <v>500</v>
      </c>
      <c r="F5" s="5">
        <v>700</v>
      </c>
      <c r="G5" s="5">
        <v>800</v>
      </c>
      <c r="H5" s="5">
        <v>1000</v>
      </c>
      <c r="I5" s="5">
        <v>1200</v>
      </c>
      <c r="J5" s="5">
        <v>1300</v>
      </c>
      <c r="K5" s="5">
        <v>1500</v>
      </c>
      <c r="L5" s="5">
        <v>1600</v>
      </c>
      <c r="N5" s="12" t="s">
        <v>1</v>
      </c>
      <c r="O5" s="5"/>
      <c r="P5" s="5"/>
      <c r="Q5" s="5">
        <v>1500</v>
      </c>
      <c r="R5" s="5">
        <v>2000</v>
      </c>
      <c r="S5" s="5">
        <v>2400</v>
      </c>
      <c r="T5" s="5">
        <v>2900</v>
      </c>
      <c r="U5" s="5">
        <v>3400</v>
      </c>
      <c r="V5" s="5">
        <v>3900</v>
      </c>
      <c r="W5" s="5">
        <v>4400</v>
      </c>
      <c r="X5" s="5">
        <v>4800</v>
      </c>
    </row>
    <row r="6" spans="2:24" ht="31.5" customHeight="1" x14ac:dyDescent="0.25">
      <c r="B6" s="12" t="s">
        <v>2</v>
      </c>
      <c r="C6" s="25">
        <v>700</v>
      </c>
      <c r="D6" s="25"/>
      <c r="E6" s="25">
        <v>1000</v>
      </c>
      <c r="F6" s="25">
        <v>1300</v>
      </c>
      <c r="G6" s="25">
        <v>1600</v>
      </c>
      <c r="H6" s="25">
        <v>2000</v>
      </c>
      <c r="I6" s="25">
        <v>2300</v>
      </c>
      <c r="J6" s="25">
        <v>2600</v>
      </c>
      <c r="K6" s="25">
        <v>2900</v>
      </c>
      <c r="L6" s="25">
        <v>3200</v>
      </c>
      <c r="N6" s="12" t="s">
        <v>2</v>
      </c>
      <c r="O6" s="25"/>
      <c r="P6" s="25">
        <v>2400</v>
      </c>
      <c r="Q6" s="25">
        <v>2900</v>
      </c>
      <c r="R6" s="25">
        <v>3900</v>
      </c>
      <c r="S6" s="25">
        <v>4800</v>
      </c>
      <c r="T6" s="25">
        <v>5800</v>
      </c>
      <c r="U6" s="25">
        <v>6800</v>
      </c>
      <c r="V6" s="25">
        <v>7700</v>
      </c>
      <c r="W6" s="25">
        <v>8700</v>
      </c>
      <c r="X6" s="25">
        <v>9600</v>
      </c>
    </row>
    <row r="7" spans="2:24" ht="31.5" customHeight="1" x14ac:dyDescent="0.25">
      <c r="B7" s="12" t="s">
        <v>3</v>
      </c>
      <c r="C7" s="25">
        <v>1300</v>
      </c>
      <c r="D7" s="25">
        <v>1600</v>
      </c>
      <c r="E7" s="25">
        <v>2000</v>
      </c>
      <c r="F7" s="25">
        <v>2600</v>
      </c>
      <c r="G7" s="25">
        <v>3200</v>
      </c>
      <c r="H7" s="25">
        <v>3900</v>
      </c>
      <c r="I7" s="26">
        <v>4000</v>
      </c>
      <c r="J7" s="26">
        <v>4000</v>
      </c>
      <c r="K7" s="26">
        <v>4000</v>
      </c>
      <c r="L7" s="26">
        <v>4000</v>
      </c>
      <c r="N7" s="12" t="s">
        <v>3</v>
      </c>
      <c r="O7" s="25"/>
      <c r="P7" s="25">
        <v>4800</v>
      </c>
      <c r="Q7" s="25">
        <v>5800</v>
      </c>
      <c r="R7" s="25">
        <v>7700</v>
      </c>
      <c r="S7" s="25">
        <v>9600</v>
      </c>
      <c r="T7" s="25">
        <v>11600</v>
      </c>
      <c r="U7" s="26">
        <v>12000</v>
      </c>
      <c r="V7" s="26">
        <v>12000</v>
      </c>
      <c r="W7" s="26">
        <v>12000</v>
      </c>
      <c r="X7" s="26">
        <v>12000</v>
      </c>
    </row>
    <row r="8" spans="2:24" ht="31.5" customHeight="1" x14ac:dyDescent="0.25">
      <c r="B8" s="12" t="s">
        <v>4</v>
      </c>
      <c r="C8" s="25">
        <v>2600</v>
      </c>
      <c r="D8" s="25">
        <v>3200</v>
      </c>
      <c r="E8" s="25">
        <v>3900</v>
      </c>
      <c r="F8" s="26">
        <v>4000</v>
      </c>
      <c r="G8" s="26">
        <v>4000</v>
      </c>
      <c r="H8" s="26">
        <v>4000</v>
      </c>
      <c r="I8" s="26">
        <v>4000</v>
      </c>
      <c r="J8" s="26">
        <v>4000</v>
      </c>
      <c r="K8" s="26">
        <v>4000</v>
      </c>
      <c r="L8" s="26">
        <v>4000</v>
      </c>
      <c r="N8" s="12" t="s">
        <v>4</v>
      </c>
      <c r="O8" s="25"/>
      <c r="P8" s="25">
        <v>9600</v>
      </c>
      <c r="Q8" s="25">
        <v>11600</v>
      </c>
      <c r="R8" s="26">
        <v>12000</v>
      </c>
      <c r="S8" s="26">
        <v>12000</v>
      </c>
      <c r="T8" s="26">
        <v>12000</v>
      </c>
      <c r="U8" s="26">
        <v>12000</v>
      </c>
      <c r="V8" s="26">
        <v>12000</v>
      </c>
      <c r="W8" s="26">
        <v>12000</v>
      </c>
      <c r="X8" s="26">
        <v>12000</v>
      </c>
    </row>
    <row r="9" spans="2:24" ht="31.5" x14ac:dyDescent="0.25">
      <c r="B9" s="12" t="s">
        <v>5</v>
      </c>
      <c r="C9" s="32">
        <v>4000</v>
      </c>
      <c r="D9" s="32"/>
      <c r="E9" s="32"/>
      <c r="F9" s="32"/>
      <c r="G9" s="32"/>
      <c r="H9" s="32"/>
      <c r="I9" s="32"/>
      <c r="J9" s="32"/>
      <c r="K9" s="32"/>
      <c r="L9" s="32"/>
      <c r="N9" s="12" t="s">
        <v>5</v>
      </c>
      <c r="O9" s="32">
        <f>C9*3</f>
        <v>12000</v>
      </c>
      <c r="P9" s="32"/>
      <c r="Q9" s="32"/>
      <c r="R9" s="32"/>
      <c r="S9" s="32"/>
      <c r="T9" s="32"/>
      <c r="U9" s="32"/>
      <c r="V9" s="32"/>
      <c r="W9" s="32"/>
      <c r="X9" s="32"/>
    </row>
    <row r="10" spans="2:24" ht="31.5" x14ac:dyDescent="0.25">
      <c r="B10" s="12" t="s">
        <v>6</v>
      </c>
      <c r="C10" s="33">
        <v>6000</v>
      </c>
      <c r="D10" s="33"/>
      <c r="E10" s="33"/>
      <c r="F10" s="33"/>
      <c r="G10" s="33"/>
      <c r="H10" s="33"/>
      <c r="I10" s="33"/>
      <c r="J10" s="33"/>
      <c r="K10" s="33"/>
      <c r="L10" s="33"/>
      <c r="N10" s="12" t="s">
        <v>6</v>
      </c>
      <c r="O10" s="32">
        <f>C10*3</f>
        <v>18000</v>
      </c>
      <c r="P10" s="32"/>
      <c r="Q10" s="32"/>
      <c r="R10" s="32"/>
      <c r="S10" s="32"/>
      <c r="T10" s="32"/>
      <c r="U10" s="32"/>
      <c r="V10" s="32"/>
      <c r="W10" s="32"/>
      <c r="X10" s="32"/>
    </row>
    <row r="11" spans="2:24" ht="31.5" x14ac:dyDescent="0.25">
      <c r="B11" s="12" t="s">
        <v>7</v>
      </c>
      <c r="C11" s="33">
        <v>8000</v>
      </c>
      <c r="D11" s="33"/>
      <c r="E11" s="33"/>
      <c r="F11" s="33"/>
      <c r="G11" s="33"/>
      <c r="H11" s="33"/>
      <c r="I11" s="33"/>
      <c r="J11" s="33"/>
      <c r="K11" s="33"/>
      <c r="L11" s="33"/>
      <c r="N11" s="12" t="s">
        <v>7</v>
      </c>
      <c r="O11" s="32">
        <f>C11*3</f>
        <v>24000</v>
      </c>
      <c r="P11" s="32"/>
      <c r="Q11" s="32"/>
      <c r="R11" s="32"/>
      <c r="S11" s="32"/>
      <c r="T11" s="32"/>
      <c r="U11" s="32"/>
      <c r="V11" s="32"/>
      <c r="W11" s="32"/>
      <c r="X11" s="32"/>
    </row>
    <row r="12" spans="2:24" ht="31.5" x14ac:dyDescent="0.25">
      <c r="B12" s="12" t="s">
        <v>8</v>
      </c>
      <c r="C12" s="33">
        <v>12000</v>
      </c>
      <c r="D12" s="33"/>
      <c r="E12" s="33"/>
      <c r="F12" s="33"/>
      <c r="G12" s="33"/>
      <c r="H12" s="33"/>
      <c r="I12" s="33"/>
      <c r="J12" s="33"/>
      <c r="K12" s="33"/>
      <c r="L12" s="33"/>
      <c r="N12" s="12" t="s">
        <v>8</v>
      </c>
      <c r="O12" s="32">
        <f>C12*3</f>
        <v>36000</v>
      </c>
      <c r="P12" s="32"/>
      <c r="Q12" s="32"/>
      <c r="R12" s="32"/>
      <c r="S12" s="32"/>
      <c r="T12" s="32"/>
      <c r="U12" s="32"/>
      <c r="V12" s="32"/>
      <c r="W12" s="32"/>
      <c r="X12" s="32"/>
    </row>
    <row r="13" spans="2:24" ht="31.5" x14ac:dyDescent="0.25">
      <c r="B13" s="12" t="s">
        <v>17</v>
      </c>
      <c r="C13" s="33">
        <v>16000</v>
      </c>
      <c r="D13" s="33"/>
      <c r="E13" s="33"/>
      <c r="F13" s="33"/>
      <c r="G13" s="33"/>
      <c r="H13" s="33"/>
      <c r="I13" s="33"/>
      <c r="J13" s="33"/>
      <c r="K13" s="33"/>
      <c r="L13" s="33"/>
      <c r="N13" s="12" t="s">
        <v>17</v>
      </c>
      <c r="O13" s="32">
        <f>C13*3</f>
        <v>48000</v>
      </c>
      <c r="P13" s="32"/>
      <c r="Q13" s="32"/>
      <c r="R13" s="32"/>
      <c r="S13" s="32"/>
      <c r="T13" s="32"/>
      <c r="U13" s="32"/>
      <c r="V13" s="32"/>
      <c r="W13" s="32"/>
      <c r="X13" s="32"/>
    </row>
    <row r="15" spans="2:24" ht="54.75" customHeight="1" x14ac:dyDescent="0.25">
      <c r="B15" s="19" t="s">
        <v>16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  <c r="N15" s="22" t="s">
        <v>10</v>
      </c>
      <c r="O15" s="23"/>
      <c r="P15" s="23"/>
      <c r="Q15" s="23"/>
      <c r="R15" s="23"/>
      <c r="S15" s="23"/>
      <c r="T15" s="23"/>
      <c r="U15" s="23"/>
      <c r="V15" s="23"/>
      <c r="W15" s="23"/>
      <c r="X15" s="24"/>
    </row>
    <row r="16" spans="2:24" x14ac:dyDescent="0.25">
      <c r="B16" s="12" t="s">
        <v>0</v>
      </c>
      <c r="C16" s="8">
        <v>0</v>
      </c>
      <c r="D16" s="8">
        <v>5</v>
      </c>
      <c r="E16" s="8">
        <v>10</v>
      </c>
      <c r="F16" s="8">
        <v>20</v>
      </c>
      <c r="G16" s="8">
        <v>30</v>
      </c>
      <c r="H16" s="8">
        <v>40</v>
      </c>
      <c r="I16" s="8">
        <v>50</v>
      </c>
      <c r="J16" s="8">
        <v>60</v>
      </c>
      <c r="K16" s="8">
        <v>70</v>
      </c>
      <c r="L16" s="8">
        <v>80</v>
      </c>
      <c r="N16" s="12" t="s">
        <v>0</v>
      </c>
      <c r="O16" s="8">
        <v>0</v>
      </c>
      <c r="P16" s="8">
        <v>5</v>
      </c>
      <c r="Q16" s="8">
        <v>10</v>
      </c>
      <c r="R16" s="8">
        <v>20</v>
      </c>
      <c r="S16" s="8">
        <v>30</v>
      </c>
      <c r="T16" s="8">
        <v>40</v>
      </c>
      <c r="U16" s="8">
        <v>50</v>
      </c>
      <c r="V16" s="8">
        <v>60</v>
      </c>
      <c r="W16" s="8">
        <v>70</v>
      </c>
      <c r="X16" s="8">
        <v>80</v>
      </c>
    </row>
    <row r="17" spans="2:24" ht="30" x14ac:dyDescent="0.25">
      <c r="B17" s="12" t="s">
        <v>1</v>
      </c>
      <c r="C17" s="5"/>
      <c r="D17" s="5"/>
      <c r="E17" s="5" t="str">
        <f t="shared" ref="E17:L18" si="0">_xlfn.CONCAT(ROUNDUP(E5/2,-2),CHAR(10),E5)</f>
        <v>300
500</v>
      </c>
      <c r="F17" s="5" t="str">
        <f t="shared" si="0"/>
        <v>400
700</v>
      </c>
      <c r="G17" s="5" t="str">
        <f t="shared" si="0"/>
        <v>400
800</v>
      </c>
      <c r="H17" s="5" t="str">
        <f t="shared" si="0"/>
        <v>500
1000</v>
      </c>
      <c r="I17" s="5" t="str">
        <f t="shared" si="0"/>
        <v>600
1200</v>
      </c>
      <c r="J17" s="5" t="str">
        <f t="shared" si="0"/>
        <v>700
1300</v>
      </c>
      <c r="K17" s="5" t="str">
        <f t="shared" si="0"/>
        <v>800
1500</v>
      </c>
      <c r="L17" s="5" t="str">
        <f t="shared" si="0"/>
        <v>800
1600</v>
      </c>
      <c r="N17" s="12" t="s">
        <v>1</v>
      </c>
      <c r="O17" s="5">
        <f>ROUNDDOWN(O5/1.5,-2)</f>
        <v>0</v>
      </c>
      <c r="P17" s="5">
        <f t="shared" ref="P17:X17" si="1">ROUNDDOWN(P5/1.5,-2)</f>
        <v>0</v>
      </c>
      <c r="Q17" s="5">
        <f t="shared" si="1"/>
        <v>1000</v>
      </c>
      <c r="R17" s="5">
        <f t="shared" si="1"/>
        <v>1300</v>
      </c>
      <c r="S17" s="5">
        <f t="shared" si="1"/>
        <v>1600</v>
      </c>
      <c r="T17" s="5">
        <f t="shared" si="1"/>
        <v>1900</v>
      </c>
      <c r="U17" s="5">
        <f t="shared" si="1"/>
        <v>2200</v>
      </c>
      <c r="V17" s="5">
        <f t="shared" si="1"/>
        <v>2600</v>
      </c>
      <c r="W17" s="5">
        <f t="shared" si="1"/>
        <v>2900</v>
      </c>
      <c r="X17" s="5">
        <f t="shared" si="1"/>
        <v>3200</v>
      </c>
    </row>
    <row r="18" spans="2:24" ht="30" x14ac:dyDescent="0.25">
      <c r="B18" s="12" t="s">
        <v>2</v>
      </c>
      <c r="C18" s="25" t="str">
        <f>_xlfn.CONCAT(ROUNDUP(C6/2,-2),CHAR(10),C6)</f>
        <v>400
700</v>
      </c>
      <c r="D18" s="25"/>
      <c r="E18" s="25" t="str">
        <f t="shared" si="0"/>
        <v>500
1000</v>
      </c>
      <c r="F18" s="25" t="str">
        <f t="shared" si="0"/>
        <v>700
1300</v>
      </c>
      <c r="G18" s="25" t="str">
        <f t="shared" si="0"/>
        <v>800
1600</v>
      </c>
      <c r="H18" s="25" t="str">
        <f t="shared" si="0"/>
        <v>1000
2000</v>
      </c>
      <c r="I18" s="25" t="str">
        <f t="shared" si="0"/>
        <v>1200
2300</v>
      </c>
      <c r="J18" s="25" t="str">
        <f t="shared" si="0"/>
        <v>1300
2600</v>
      </c>
      <c r="K18" s="25" t="str">
        <f t="shared" si="0"/>
        <v>1500
2900</v>
      </c>
      <c r="L18" s="25" t="str">
        <f t="shared" si="0"/>
        <v>1600
3200</v>
      </c>
      <c r="N18" s="12" t="s">
        <v>2</v>
      </c>
      <c r="O18" s="5">
        <f t="shared" ref="O18:X18" si="2">ROUNDDOWN(O6/1.5,-2)</f>
        <v>0</v>
      </c>
      <c r="P18" s="5">
        <f t="shared" si="2"/>
        <v>1600</v>
      </c>
      <c r="Q18" s="5">
        <f t="shared" si="2"/>
        <v>1900</v>
      </c>
      <c r="R18" s="5">
        <f t="shared" si="2"/>
        <v>2600</v>
      </c>
      <c r="S18" s="5">
        <f t="shared" si="2"/>
        <v>3200</v>
      </c>
      <c r="T18" s="5">
        <f t="shared" si="2"/>
        <v>3800</v>
      </c>
      <c r="U18" s="5">
        <f t="shared" si="2"/>
        <v>4500</v>
      </c>
      <c r="V18" s="5">
        <f t="shared" si="2"/>
        <v>5100</v>
      </c>
      <c r="W18" s="5">
        <f t="shared" si="2"/>
        <v>5800</v>
      </c>
      <c r="X18" s="5">
        <f t="shared" si="2"/>
        <v>6400</v>
      </c>
    </row>
    <row r="19" spans="2:24" ht="30" x14ac:dyDescent="0.25">
      <c r="B19" s="12" t="s">
        <v>3</v>
      </c>
      <c r="C19" s="25" t="str">
        <f t="shared" ref="C19:L19" si="3">_xlfn.CONCAT(ROUNDUP(C7/2,-2),CHAR(10),C7)</f>
        <v>700
1300</v>
      </c>
      <c r="D19" s="25" t="str">
        <f t="shared" si="3"/>
        <v>800
1600</v>
      </c>
      <c r="E19" s="25" t="str">
        <f t="shared" si="3"/>
        <v>1000
2000</v>
      </c>
      <c r="F19" s="25" t="str">
        <f t="shared" si="3"/>
        <v>1300
2600</v>
      </c>
      <c r="G19" s="25" t="str">
        <f t="shared" si="3"/>
        <v>1600
3200</v>
      </c>
      <c r="H19" s="25" t="str">
        <f t="shared" si="3"/>
        <v>2000
3900</v>
      </c>
      <c r="I19" s="26" t="str">
        <f t="shared" si="3"/>
        <v>2000
4000</v>
      </c>
      <c r="J19" s="26" t="str">
        <f t="shared" si="3"/>
        <v>2000
4000</v>
      </c>
      <c r="K19" s="26" t="str">
        <f t="shared" si="3"/>
        <v>2000
4000</v>
      </c>
      <c r="L19" s="26" t="str">
        <f t="shared" si="3"/>
        <v>2000
4000</v>
      </c>
      <c r="N19" s="12" t="s">
        <v>3</v>
      </c>
      <c r="O19" s="25">
        <f t="shared" ref="O19:X19" si="4">ROUNDDOWN(O7/1.5,-2)</f>
        <v>0</v>
      </c>
      <c r="P19" s="25">
        <f t="shared" si="4"/>
        <v>3200</v>
      </c>
      <c r="Q19" s="25">
        <f t="shared" si="4"/>
        <v>3800</v>
      </c>
      <c r="R19" s="25">
        <f t="shared" si="4"/>
        <v>5100</v>
      </c>
      <c r="S19" s="25">
        <f t="shared" si="4"/>
        <v>6400</v>
      </c>
      <c r="T19" s="25">
        <f t="shared" si="4"/>
        <v>7700</v>
      </c>
      <c r="U19" s="26">
        <f t="shared" si="4"/>
        <v>8000</v>
      </c>
      <c r="V19" s="26">
        <f t="shared" si="4"/>
        <v>8000</v>
      </c>
      <c r="W19" s="26">
        <f t="shared" si="4"/>
        <v>8000</v>
      </c>
      <c r="X19" s="26">
        <f t="shared" si="4"/>
        <v>8000</v>
      </c>
    </row>
    <row r="20" spans="2:24" ht="30" x14ac:dyDescent="0.25">
      <c r="B20" s="12" t="s">
        <v>4</v>
      </c>
      <c r="C20" s="25" t="str">
        <f t="shared" ref="C20:L20" si="5">_xlfn.CONCAT(ROUNDUP(C8/2,-2),CHAR(10),C8)</f>
        <v>1300
2600</v>
      </c>
      <c r="D20" s="25" t="str">
        <f t="shared" si="5"/>
        <v>1600
3200</v>
      </c>
      <c r="E20" s="34" t="str">
        <f t="shared" si="5"/>
        <v>2000
3900</v>
      </c>
      <c r="F20" s="26" t="str">
        <f t="shared" si="5"/>
        <v>2000
4000</v>
      </c>
      <c r="G20" s="26" t="str">
        <f t="shared" si="5"/>
        <v>2000
4000</v>
      </c>
      <c r="H20" s="26" t="str">
        <f t="shared" si="5"/>
        <v>2000
4000</v>
      </c>
      <c r="I20" s="26" t="str">
        <f t="shared" si="5"/>
        <v>2000
4000</v>
      </c>
      <c r="J20" s="26" t="str">
        <f t="shared" si="5"/>
        <v>2000
4000</v>
      </c>
      <c r="K20" s="26" t="str">
        <f t="shared" si="5"/>
        <v>2000
4000</v>
      </c>
      <c r="L20" s="26" t="str">
        <f t="shared" si="5"/>
        <v>2000
4000</v>
      </c>
      <c r="N20" s="12" t="s">
        <v>4</v>
      </c>
      <c r="O20" s="25">
        <f t="shared" ref="O20:X20" si="6">ROUNDDOWN(O8/1.5,-2)</f>
        <v>0</v>
      </c>
      <c r="P20" s="25">
        <f t="shared" si="6"/>
        <v>6400</v>
      </c>
      <c r="Q20" s="25">
        <f t="shared" si="6"/>
        <v>7700</v>
      </c>
      <c r="R20" s="26">
        <f t="shared" si="6"/>
        <v>8000</v>
      </c>
      <c r="S20" s="26">
        <f t="shared" si="6"/>
        <v>8000</v>
      </c>
      <c r="T20" s="26">
        <f t="shared" si="6"/>
        <v>8000</v>
      </c>
      <c r="U20" s="26">
        <f t="shared" si="6"/>
        <v>8000</v>
      </c>
      <c r="V20" s="26">
        <f t="shared" si="6"/>
        <v>8000</v>
      </c>
      <c r="W20" s="26">
        <f t="shared" si="6"/>
        <v>8000</v>
      </c>
      <c r="X20" s="26">
        <f t="shared" si="6"/>
        <v>8000</v>
      </c>
    </row>
    <row r="21" spans="2:24" ht="31.5" x14ac:dyDescent="0.25">
      <c r="B21" s="12" t="s">
        <v>5</v>
      </c>
      <c r="C21" s="27" t="str">
        <f>_xlfn.CONCAT(ROUNDUP(C9/2,-2)," (",C9,")")</f>
        <v>2000 (4000)</v>
      </c>
      <c r="D21" s="28"/>
      <c r="E21" s="28"/>
      <c r="F21" s="28"/>
      <c r="G21" s="28"/>
      <c r="H21" s="28"/>
      <c r="I21" s="28"/>
      <c r="J21" s="28"/>
      <c r="K21" s="28"/>
      <c r="L21" s="29"/>
      <c r="N21" s="12" t="s">
        <v>5</v>
      </c>
      <c r="O21" s="32">
        <f>ROUNDDOWN(O9/1.5,-2)</f>
        <v>8000</v>
      </c>
      <c r="P21" s="32"/>
      <c r="Q21" s="32"/>
      <c r="R21" s="32"/>
      <c r="S21" s="32"/>
      <c r="T21" s="32"/>
      <c r="U21" s="32"/>
      <c r="V21" s="32"/>
      <c r="W21" s="32"/>
      <c r="X21" s="32"/>
    </row>
    <row r="22" spans="2:24" ht="31.5" customHeight="1" x14ac:dyDescent="0.25">
      <c r="B22" s="12" t="s">
        <v>6</v>
      </c>
      <c r="C22" s="27" t="str">
        <f t="shared" ref="C22:C25" si="7">_xlfn.CONCAT(ROUNDUP(C10/2,-2)," (",C10,")")</f>
        <v>3000 (6000)</v>
      </c>
      <c r="D22" s="28"/>
      <c r="E22" s="28"/>
      <c r="F22" s="28"/>
      <c r="G22" s="28"/>
      <c r="H22" s="28"/>
      <c r="I22" s="28"/>
      <c r="J22" s="28"/>
      <c r="K22" s="28"/>
      <c r="L22" s="29"/>
      <c r="N22" s="12" t="s">
        <v>6</v>
      </c>
      <c r="O22" s="32">
        <f t="shared" ref="O22:O25" si="8">ROUNDDOWN(O10/1.5,-2)</f>
        <v>12000</v>
      </c>
      <c r="P22" s="32"/>
      <c r="Q22" s="32"/>
      <c r="R22" s="32"/>
      <c r="S22" s="32"/>
      <c r="T22" s="32"/>
      <c r="U22" s="32"/>
      <c r="V22" s="32"/>
      <c r="W22" s="32"/>
      <c r="X22" s="32"/>
    </row>
    <row r="23" spans="2:24" ht="31.5" customHeight="1" x14ac:dyDescent="0.25">
      <c r="B23" s="12" t="s">
        <v>7</v>
      </c>
      <c r="C23" s="27" t="str">
        <f t="shared" si="7"/>
        <v>4000 (8000)</v>
      </c>
      <c r="D23" s="28"/>
      <c r="E23" s="28"/>
      <c r="F23" s="28"/>
      <c r="G23" s="28"/>
      <c r="H23" s="28"/>
      <c r="I23" s="28"/>
      <c r="J23" s="28"/>
      <c r="K23" s="28"/>
      <c r="L23" s="29"/>
      <c r="N23" s="12" t="s">
        <v>7</v>
      </c>
      <c r="O23" s="32">
        <f t="shared" si="8"/>
        <v>16000</v>
      </c>
      <c r="P23" s="32"/>
      <c r="Q23" s="32"/>
      <c r="R23" s="32"/>
      <c r="S23" s="32"/>
      <c r="T23" s="32"/>
      <c r="U23" s="32"/>
      <c r="V23" s="32"/>
      <c r="W23" s="32"/>
      <c r="X23" s="32"/>
    </row>
    <row r="24" spans="2:24" ht="31.5" customHeight="1" x14ac:dyDescent="0.25">
      <c r="B24" s="12" t="s">
        <v>8</v>
      </c>
      <c r="C24" s="27" t="str">
        <f t="shared" si="7"/>
        <v>6000 (12000)</v>
      </c>
      <c r="D24" s="28"/>
      <c r="E24" s="28"/>
      <c r="F24" s="28"/>
      <c r="G24" s="28"/>
      <c r="H24" s="28"/>
      <c r="I24" s="28"/>
      <c r="J24" s="28"/>
      <c r="K24" s="28"/>
      <c r="L24" s="29"/>
      <c r="N24" s="12" t="s">
        <v>8</v>
      </c>
      <c r="O24" s="33">
        <f t="shared" si="8"/>
        <v>24000</v>
      </c>
      <c r="P24" s="33"/>
      <c r="Q24" s="33"/>
      <c r="R24" s="33"/>
      <c r="S24" s="33"/>
      <c r="T24" s="33"/>
      <c r="U24" s="33"/>
      <c r="V24" s="33"/>
      <c r="W24" s="33"/>
      <c r="X24" s="33"/>
    </row>
    <row r="25" spans="2:24" ht="31.5" customHeight="1" x14ac:dyDescent="0.25">
      <c r="B25" s="12" t="s">
        <v>17</v>
      </c>
      <c r="C25" s="27" t="str">
        <f t="shared" si="7"/>
        <v>8000 (16000)</v>
      </c>
      <c r="D25" s="28"/>
      <c r="E25" s="28"/>
      <c r="F25" s="28"/>
      <c r="G25" s="28"/>
      <c r="H25" s="28"/>
      <c r="I25" s="28"/>
      <c r="J25" s="28"/>
      <c r="K25" s="28"/>
      <c r="L25" s="29"/>
      <c r="N25" s="12" t="s">
        <v>17</v>
      </c>
      <c r="O25" s="33">
        <f t="shared" si="8"/>
        <v>32000</v>
      </c>
      <c r="P25" s="33"/>
      <c r="Q25" s="33"/>
      <c r="R25" s="33"/>
      <c r="S25" s="33"/>
      <c r="T25" s="33"/>
      <c r="U25" s="33"/>
      <c r="V25" s="33"/>
      <c r="W25" s="33"/>
      <c r="X25" s="33"/>
    </row>
    <row r="26" spans="2:24" ht="9" customHeight="1" x14ac:dyDescent="0.25"/>
    <row r="28" spans="2:24" ht="38.25" customHeight="1" x14ac:dyDescent="0.25"/>
    <row r="40" s="30" customFormat="1" ht="36.75" customHeight="1" x14ac:dyDescent="0.25"/>
  </sheetData>
  <mergeCells count="26">
    <mergeCell ref="B2:L2"/>
    <mergeCell ref="N2:X2"/>
    <mergeCell ref="C25:L25"/>
    <mergeCell ref="C9:L9"/>
    <mergeCell ref="C10:L10"/>
    <mergeCell ref="C11:L11"/>
    <mergeCell ref="C12:L12"/>
    <mergeCell ref="C13:L13"/>
    <mergeCell ref="B15:L15"/>
    <mergeCell ref="B3:L3"/>
    <mergeCell ref="C21:L21"/>
    <mergeCell ref="C22:L22"/>
    <mergeCell ref="C23:L23"/>
    <mergeCell ref="C24:L24"/>
    <mergeCell ref="O25:X25"/>
    <mergeCell ref="O9:X9"/>
    <mergeCell ref="O10:X10"/>
    <mergeCell ref="O11:X11"/>
    <mergeCell ref="O12:X12"/>
    <mergeCell ref="O13:X13"/>
    <mergeCell ref="N15:X15"/>
    <mergeCell ref="N3:X3"/>
    <mergeCell ref="O21:X21"/>
    <mergeCell ref="O22:X22"/>
    <mergeCell ref="O23:X23"/>
    <mergeCell ref="O24:X24"/>
  </mergeCells>
  <phoneticPr fontId="3" type="noConversion"/>
  <pageMargins left="0.25" right="0.25" top="0.75" bottom="0.75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</dc:creator>
  <cp:lastModifiedBy>Patricio</cp:lastModifiedBy>
  <cp:lastPrinted>2026-03-25T20:49:55Z</cp:lastPrinted>
  <dcterms:created xsi:type="dcterms:W3CDTF">2026-03-25T19:53:50Z</dcterms:created>
  <dcterms:modified xsi:type="dcterms:W3CDTF">2026-03-25T20:50:02Z</dcterms:modified>
</cp:coreProperties>
</file>